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ndy/Documents/Excel/"/>
    </mc:Choice>
  </mc:AlternateContent>
  <xr:revisionPtr revIDLastSave="0" documentId="8_{D4C3E2CC-F1A6-4846-9B4D-9AB96FB603C3}" xr6:coauthVersionLast="47" xr6:coauthVersionMax="47" xr10:uidLastSave="{00000000-0000-0000-0000-000000000000}"/>
  <bookViews>
    <workbookView xWindow="680" yWindow="760" windowWidth="28040" windowHeight="16640" activeTab="1" xr2:uid="{FAF92AAC-E106-F042-B32F-DF5DBF31EE4F}"/>
  </bookViews>
  <sheets>
    <sheet name="DATA" sheetId="1" r:id="rId1"/>
    <sheet name="GRAF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" i="1"/>
  <c r="G3" i="1" s="1"/>
  <c r="C37" i="1"/>
  <c r="C36" i="1"/>
  <c r="C3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" i="1"/>
  <c r="C45" i="1" l="1"/>
  <c r="C44" i="1"/>
  <c r="C46" i="1"/>
  <c r="C41" i="1"/>
  <c r="C40" i="1"/>
</calcChain>
</file>

<file path=xl/sharedStrings.xml><?xml version="1.0" encoding="utf-8"?>
<sst xmlns="http://schemas.openxmlformats.org/spreadsheetml/2006/main" count="119" uniqueCount="88">
  <si>
    <t>ID odpovědi</t>
  </si>
  <si>
    <t>Jak hodnotíte web z hlediska designu? (1-10)</t>
  </si>
  <si>
    <t>Je web přehledný a snadno pochopitelný? (1-10)</t>
  </si>
  <si>
    <t>Jak věrohodně náš web působí? (1-10)</t>
  </si>
  <si>
    <t>Celkové skóre</t>
  </si>
  <si>
    <t>Skupina</t>
  </si>
  <si>
    <t>Našli jste všechny informace, které by jste potřebovali? (Ano, Ne)</t>
  </si>
  <si>
    <t>&lt;   Číselně</t>
  </si>
  <si>
    <t>Co vás zaujalo / nezaujalo?</t>
  </si>
  <si>
    <t>Celkový dojem z webu</t>
  </si>
  <si>
    <t>Doporučení na vylepšení</t>
  </si>
  <si>
    <t>Ne</t>
  </si>
  <si>
    <t>Líbí se mi jednoduchý design</t>
  </si>
  <si>
    <t>Působí moderně</t>
  </si>
  <si>
    <t>Lepší struktura navbaru</t>
  </si>
  <si>
    <t>ANO</t>
  </si>
  <si>
    <t>Zaujalo roztomile tricko</t>
  </si>
  <si>
    <t>až na navbar to je pěkný</t>
  </si>
  <si>
    <t>navbar zvětšit vertikalně</t>
  </si>
  <si>
    <t>ano</t>
  </si>
  <si>
    <t>zaujal design</t>
  </si>
  <si>
    <t>pěkný web</t>
  </si>
  <si>
    <t xml:space="preserve">vylepšit obsahovou čast </t>
  </si>
  <si>
    <t>ne</t>
  </si>
  <si>
    <t>design</t>
  </si>
  <si>
    <t>líbí se mi</t>
  </si>
  <si>
    <t>funkčnost webu, dodělat recenze a kontakty</t>
  </si>
  <si>
    <t xml:space="preserve">hezký desing </t>
  </si>
  <si>
    <t>dark mode</t>
  </si>
  <si>
    <t>vypadá to jako většina ostatních webů</t>
  </si>
  <si>
    <t>každý druhý ecommerce</t>
  </si>
  <si>
    <t>dát tomu víc vlastního života, at se to víc liší</t>
  </si>
  <si>
    <t>cool design</t>
  </si>
  <si>
    <t>udělat to responzivní dark mode</t>
  </si>
  <si>
    <t>název webu a design</t>
  </si>
  <si>
    <t>libí se</t>
  </si>
  <si>
    <t>asi žadné</t>
  </si>
  <si>
    <t>že to je pro mlade lidi</t>
  </si>
  <si>
    <t>cajk</t>
  </si>
  <si>
    <t>font otázky změnit</t>
  </si>
  <si>
    <t>galerie</t>
  </si>
  <si>
    <t>dobrý cool</t>
  </si>
  <si>
    <t>změnit trko a ty otazky</t>
  </si>
  <si>
    <t>formulář</t>
  </si>
  <si>
    <t>otazky</t>
  </si>
  <si>
    <t>tričko s vlastnim potiskem</t>
  </si>
  <si>
    <t>boomba</t>
  </si>
  <si>
    <t>to tričko</t>
  </si>
  <si>
    <t>vypada to dobře</t>
  </si>
  <si>
    <t>tričko</t>
  </si>
  <si>
    <t>kombinace barev animace</t>
  </si>
  <si>
    <t>jednoduchy a moderni</t>
  </si>
  <si>
    <t>dodelat</t>
  </si>
  <si>
    <t>animace</t>
  </si>
  <si>
    <t>moderni web</t>
  </si>
  <si>
    <t>dodelat, navbar</t>
  </si>
  <si>
    <t>stylizace</t>
  </si>
  <si>
    <t>pekny</t>
  </si>
  <si>
    <t>clanky</t>
  </si>
  <si>
    <t>hezky moderni</t>
  </si>
  <si>
    <t>font galerie spatny, otazky nemit pod sebe, gradient fuj</t>
  </si>
  <si>
    <t>moderni mini</t>
  </si>
  <si>
    <t xml:space="preserve"> zvetseni fontu pri hoveru obrazku</t>
  </si>
  <si>
    <t>design, interaktivita / spatna sekce (pro koho tiskneme)</t>
  </si>
  <si>
    <t>pozitivni</t>
  </si>
  <si>
    <t>tricka pro firmy (viz poznamky)</t>
  </si>
  <si>
    <t xml:space="preserve">design / </t>
  </si>
  <si>
    <t>zpusob dopravy chyby, "A" v otazkach, BLOG</t>
  </si>
  <si>
    <t xml:space="preserve">dobrej design </t>
  </si>
  <si>
    <t>velice kvalitni web</t>
  </si>
  <si>
    <t>zadny nemam perfektni</t>
  </si>
  <si>
    <t>design otazky</t>
  </si>
  <si>
    <t>je to pěkný</t>
  </si>
  <si>
    <t>tlacitko odeslat je mimo</t>
  </si>
  <si>
    <t>AVG WEB DESIGN</t>
  </si>
  <si>
    <t>AVG PŘEHLEDNOST</t>
  </si>
  <si>
    <t>AVG VĚROHODNOST</t>
  </si>
  <si>
    <t>Potřebné informace</t>
  </si>
  <si>
    <t>Ano</t>
  </si>
  <si>
    <t>Výpočet celkové kvality</t>
  </si>
  <si>
    <t>Celkové skóre kvality</t>
  </si>
  <si>
    <t>Součet Hodnocení</t>
  </si>
  <si>
    <t>Fanoušci</t>
  </si>
  <si>
    <t>25 až 30</t>
  </si>
  <si>
    <t>Pasivní</t>
  </si>
  <si>
    <t>18 až 24</t>
  </si>
  <si>
    <t>Kritici</t>
  </si>
  <si>
    <t>3 až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</si>
</sst>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/>
    <xf numFmtId="1" fontId="2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2" fontId="0" fillId="0" borderId="0" xfId="0" applyNumberFormat="1"/>
    <xf numFmtId="16" fontId="0" fillId="0" borderId="1" xfId="0" applyNumberFormat="1" applyBorder="1"/>
    <xf numFmtId="0" fontId="2" fillId="0" borderId="1" xfId="0" applyFont="1" applyBorder="1"/>
    <xf numFmtId="1" fontId="3" fillId="0" borderId="1" xfId="0" applyNumberFormat="1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A06"/>
      <color rgb="FFFFC800"/>
      <color rgb="FFD7CA16"/>
      <color rgb="FFFBE70F"/>
      <color rgb="FFCABA00"/>
      <color rgb="FF8E8E13"/>
      <color rgb="FFCC0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Průměrné hodnocení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DA-49FD-8D6F-E693A56A769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DA-49FD-8D6F-E693A56A769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DA-49FD-8D6F-E693A56A76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DATA!$B$35:$B$37</c:f>
              <c:strCache>
                <c:ptCount val="3"/>
                <c:pt idx="0">
                  <c:v>AVG WEB DESIGN</c:v>
                </c:pt>
                <c:pt idx="1">
                  <c:v>AVG PŘEHLEDNOST</c:v>
                </c:pt>
                <c:pt idx="2">
                  <c:v>AVG VĚROHODNOST</c:v>
                </c:pt>
              </c:strCache>
            </c:strRef>
          </c:cat>
          <c:val>
            <c:numRef>
              <c:f>DATA!$C$35:$C$37</c:f>
              <c:numCache>
                <c:formatCode>0</c:formatCode>
                <c:ptCount val="3"/>
                <c:pt idx="0">
                  <c:v>8.1034482758620694</c:v>
                </c:pt>
                <c:pt idx="1">
                  <c:v>8.7931034482758612</c:v>
                </c:pt>
                <c:pt idx="2">
                  <c:v>7.0344827586206895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2-3A4F-87C4-E19C6870AF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819106959"/>
        <c:axId val="757046000"/>
      </c:barChart>
      <c:catAx>
        <c:axId val="8191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046000"/>
        <c:crosses val="autoZero"/>
        <c:auto val="1"/>
        <c:lblAlgn val="ctr"/>
        <c:lblOffset val="100"/>
        <c:noMultiLvlLbl val="0"/>
      </c:catAx>
      <c:valAx>
        <c:axId val="7570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0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Nalezené všechny informace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4C-3D4C-B290-F12210F8B799}"/>
              </c:ext>
            </c:extLst>
          </c:dPt>
          <c:dPt>
            <c:idx val="1"/>
            <c:bubble3D val="0"/>
            <c:explosion val="5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4C-3D4C-B290-F12210F8B79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4C-3D4C-B290-F12210F8B79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4C-3D4C-B290-F12210F8B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DATA!$B$40:$B$41</c:f>
              <c:strCache>
                <c:ptCount val="2"/>
                <c:pt idx="0">
                  <c:v>Ano</c:v>
                </c:pt>
                <c:pt idx="1">
                  <c:v>Ne</c:v>
                </c:pt>
              </c:strCache>
            </c:strRef>
          </c:cat>
          <c:val>
            <c:numRef>
              <c:f>DATA!$C$40:$C$41</c:f>
              <c:numCache>
                <c:formatCode>General</c:formatCode>
                <c:ptCount val="2"/>
                <c:pt idx="0">
                  <c:v>15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4C-3D4C-B290-F12210F8B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Skupiny podle celkového skóre kvality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FFC800"/>
            </a:solidFill>
          </c:spPr>
          <c:dPt>
            <c:idx val="0"/>
            <c:bubble3D val="0"/>
            <c:spPr>
              <a:solidFill>
                <a:srgbClr val="FFC8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2C-664C-8109-97F2DF2B2C22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2C-664C-8109-97F2DF2B2C22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E2C-664C-8109-97F2DF2B2C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DATA!$B$44:$B$46</c:f>
              <c:strCache>
                <c:ptCount val="3"/>
                <c:pt idx="0">
                  <c:v>Fanoušci</c:v>
                </c:pt>
                <c:pt idx="1">
                  <c:v>Pasivní</c:v>
                </c:pt>
                <c:pt idx="2">
                  <c:v>Kritici</c:v>
                </c:pt>
              </c:strCache>
            </c:strRef>
          </c:cat>
          <c:val>
            <c:numRef>
              <c:f>DATA!$C$44:$C$46</c:f>
              <c:numCache>
                <c:formatCode>General</c:formatCode>
                <c:ptCount val="3"/>
                <c:pt idx="0">
                  <c:v>12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2C-664C-8109-97F2DF2B2C2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2</xdr:row>
      <xdr:rowOff>60960</xdr:rowOff>
    </xdr:from>
    <xdr:to>
      <xdr:col>9</xdr:col>
      <xdr:colOff>10160</xdr:colOff>
      <xdr:row>26</xdr:row>
      <xdr:rowOff>20320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A46D3B-D428-FE40-A3C2-97509CF84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66841</xdr:colOff>
      <xdr:row>2</xdr:row>
      <xdr:rowOff>66841</xdr:rowOff>
    </xdr:from>
    <xdr:to>
      <xdr:col>19</xdr:col>
      <xdr:colOff>183816</xdr:colOff>
      <xdr:row>25</xdr:row>
      <xdr:rowOff>183816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343F96-2914-4143-B4AA-7A7C08BB6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677333</xdr:colOff>
      <xdr:row>31</xdr:row>
      <xdr:rowOff>25400</xdr:rowOff>
    </xdr:from>
    <xdr:to>
      <xdr:col>16</xdr:col>
      <xdr:colOff>304800</xdr:colOff>
      <xdr:row>58</xdr:row>
      <xdr:rowOff>125963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E0AAA8-94AB-2147-91FF-9248CBA0F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8D02-26A7-A740-B552-F2DAD6377D8C}">
  <dimension ref="B2:L107"/>
  <sheetViews>
    <sheetView showGridLines="0" zoomScale="72" workbookViewId="0">
      <selection activeCell="I49" sqref="I49"/>
    </sheetView>
  </sheetViews>
  <sheetFormatPr baseColWidth="10" defaultColWidth="11" defaultRowHeight="16" x14ac:dyDescent="0.2"/>
  <cols>
    <col min="2" max="2" width="20.83203125" customWidth="1"/>
    <col min="3" max="3" width="22" customWidth="1"/>
    <col min="4" max="4" width="22.33203125" customWidth="1"/>
    <col min="5" max="8" width="20.83203125" customWidth="1"/>
    <col min="9" max="9" width="10.83203125" customWidth="1"/>
    <col min="10" max="10" width="46" bestFit="1" customWidth="1"/>
    <col min="11" max="11" width="36.1640625" customWidth="1"/>
    <col min="12" max="12" width="46.1640625" customWidth="1"/>
  </cols>
  <sheetData>
    <row r="2" spans="2:12" ht="72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2:12" x14ac:dyDescent="0.2">
      <c r="B3" s="6">
        <v>0</v>
      </c>
      <c r="C3" s="7">
        <v>9</v>
      </c>
      <c r="D3" s="7">
        <v>8</v>
      </c>
      <c r="E3" s="7">
        <v>6</v>
      </c>
      <c r="F3" s="7">
        <f>C3 + D3 + E3</f>
        <v>23</v>
      </c>
      <c r="G3" s="7" t="str">
        <f>IF(F3&gt;=25, "Fanoušek", IF(F3&gt;=18, "Pasivní", "Kritik"))</f>
        <v>Pasivní</v>
      </c>
      <c r="H3" s="8" t="s">
        <v>11</v>
      </c>
      <c r="I3" s="8">
        <f>IF(ISBLANK(H3), "", IF(H3="Ne", 0, 1))</f>
        <v>0</v>
      </c>
      <c r="J3" s="8" t="s">
        <v>12</v>
      </c>
      <c r="K3" s="8" t="s">
        <v>13</v>
      </c>
      <c r="L3" s="8" t="s">
        <v>14</v>
      </c>
    </row>
    <row r="4" spans="2:12" x14ac:dyDescent="0.2">
      <c r="B4" s="9">
        <v>1</v>
      </c>
      <c r="C4" s="7">
        <v>8</v>
      </c>
      <c r="D4" s="7">
        <v>10</v>
      </c>
      <c r="E4" s="7">
        <v>7</v>
      </c>
      <c r="F4" s="7">
        <f t="shared" ref="F4:F31" si="0">C4 + D4 + E4</f>
        <v>25</v>
      </c>
      <c r="G4" s="7" t="str">
        <f t="shared" ref="G4:G31" si="1">IF(F4&gt;=25, "Fanoušek", IF(F4&gt;=18, "Pasivní", "Kritik"))</f>
        <v>Fanoušek</v>
      </c>
      <c r="H4" s="8" t="s">
        <v>15</v>
      </c>
      <c r="I4" s="8">
        <f t="shared" ref="I4:I31" si="2">IF(ISBLANK(H4), "", IF(H4="Ne", 0, 1))</f>
        <v>1</v>
      </c>
      <c r="J4" s="10" t="s">
        <v>16</v>
      </c>
      <c r="K4" s="10" t="s">
        <v>17</v>
      </c>
      <c r="L4" s="10" t="s">
        <v>18</v>
      </c>
    </row>
    <row r="5" spans="2:12" x14ac:dyDescent="0.2">
      <c r="B5" s="9">
        <v>2</v>
      </c>
      <c r="C5" s="7">
        <v>8</v>
      </c>
      <c r="D5" s="7">
        <v>10</v>
      </c>
      <c r="E5" s="7">
        <v>6</v>
      </c>
      <c r="F5" s="7">
        <f t="shared" si="0"/>
        <v>24</v>
      </c>
      <c r="G5" s="7" t="str">
        <f t="shared" si="1"/>
        <v>Pasivní</v>
      </c>
      <c r="H5" s="8" t="s">
        <v>19</v>
      </c>
      <c r="I5" s="8">
        <f t="shared" si="2"/>
        <v>1</v>
      </c>
      <c r="J5" s="10" t="s">
        <v>20</v>
      </c>
      <c r="K5" s="10" t="s">
        <v>21</v>
      </c>
      <c r="L5" s="10" t="s">
        <v>22</v>
      </c>
    </row>
    <row r="6" spans="2:12" x14ac:dyDescent="0.2">
      <c r="B6" s="9">
        <v>3</v>
      </c>
      <c r="C6" s="7">
        <v>7</v>
      </c>
      <c r="D6" s="7">
        <v>6</v>
      </c>
      <c r="E6" s="7">
        <v>3</v>
      </c>
      <c r="F6" s="7">
        <f t="shared" si="0"/>
        <v>16</v>
      </c>
      <c r="G6" s="7" t="str">
        <f t="shared" si="1"/>
        <v>Kritik</v>
      </c>
      <c r="H6" s="8" t="s">
        <v>23</v>
      </c>
      <c r="I6" s="8">
        <f t="shared" si="2"/>
        <v>0</v>
      </c>
      <c r="J6" s="10" t="s">
        <v>24</v>
      </c>
      <c r="K6" s="10" t="s">
        <v>25</v>
      </c>
      <c r="L6" s="10" t="s">
        <v>26</v>
      </c>
    </row>
    <row r="7" spans="2:12" x14ac:dyDescent="0.2">
      <c r="B7" s="9">
        <v>4</v>
      </c>
      <c r="C7" s="7">
        <v>9</v>
      </c>
      <c r="D7" s="7">
        <v>9</v>
      </c>
      <c r="E7" s="7">
        <v>8</v>
      </c>
      <c r="F7" s="7">
        <f t="shared" si="0"/>
        <v>26</v>
      </c>
      <c r="G7" s="7" t="str">
        <f t="shared" si="1"/>
        <v>Fanoušek</v>
      </c>
      <c r="H7" s="8" t="s">
        <v>23</v>
      </c>
      <c r="I7" s="8">
        <f t="shared" si="2"/>
        <v>0</v>
      </c>
      <c r="J7" s="10"/>
      <c r="K7" s="10"/>
      <c r="L7" s="8"/>
    </row>
    <row r="8" spans="2:12" x14ac:dyDescent="0.2">
      <c r="B8" s="9">
        <v>5</v>
      </c>
      <c r="C8" s="7">
        <v>9</v>
      </c>
      <c r="D8" s="7">
        <v>8</v>
      </c>
      <c r="E8" s="7">
        <v>8</v>
      </c>
      <c r="F8" s="7">
        <f t="shared" si="0"/>
        <v>25</v>
      </c>
      <c r="G8" s="7" t="str">
        <f t="shared" si="1"/>
        <v>Fanoušek</v>
      </c>
      <c r="H8" s="8" t="s">
        <v>19</v>
      </c>
      <c r="I8" s="8">
        <f t="shared" si="2"/>
        <v>1</v>
      </c>
      <c r="J8" s="10" t="s">
        <v>24</v>
      </c>
      <c r="K8" s="10" t="s">
        <v>27</v>
      </c>
      <c r="L8" s="10" t="s">
        <v>28</v>
      </c>
    </row>
    <row r="9" spans="2:12" x14ac:dyDescent="0.2">
      <c r="B9" s="9">
        <v>6</v>
      </c>
      <c r="C9" s="7">
        <v>7</v>
      </c>
      <c r="D9" s="7">
        <v>8</v>
      </c>
      <c r="E9" s="7">
        <v>9</v>
      </c>
      <c r="F9" s="7">
        <f t="shared" si="0"/>
        <v>24</v>
      </c>
      <c r="G9" s="7" t="str">
        <f t="shared" si="1"/>
        <v>Pasivní</v>
      </c>
      <c r="H9" s="8" t="s">
        <v>19</v>
      </c>
      <c r="I9" s="8">
        <f t="shared" si="2"/>
        <v>1</v>
      </c>
      <c r="J9" s="10" t="s">
        <v>29</v>
      </c>
      <c r="K9" s="10" t="s">
        <v>30</v>
      </c>
      <c r="L9" s="10" t="s">
        <v>31</v>
      </c>
    </row>
    <row r="10" spans="2:12" x14ac:dyDescent="0.2">
      <c r="B10" s="9">
        <v>7</v>
      </c>
      <c r="C10" s="7">
        <v>7</v>
      </c>
      <c r="D10" s="7">
        <v>9</v>
      </c>
      <c r="E10" s="7">
        <v>7</v>
      </c>
      <c r="F10" s="7">
        <f t="shared" si="0"/>
        <v>23</v>
      </c>
      <c r="G10" s="7" t="str">
        <f t="shared" si="1"/>
        <v>Pasivní</v>
      </c>
      <c r="H10" s="8" t="s">
        <v>23</v>
      </c>
      <c r="I10" s="8">
        <f t="shared" si="2"/>
        <v>0</v>
      </c>
      <c r="J10" s="10" t="s">
        <v>32</v>
      </c>
      <c r="K10" s="10" t="s">
        <v>21</v>
      </c>
      <c r="L10" s="10" t="s">
        <v>33</v>
      </c>
    </row>
    <row r="11" spans="2:12" x14ac:dyDescent="0.2">
      <c r="B11" s="9">
        <v>8</v>
      </c>
      <c r="C11" s="7">
        <v>10</v>
      </c>
      <c r="D11" s="7">
        <v>10</v>
      </c>
      <c r="E11" s="7">
        <v>8</v>
      </c>
      <c r="F11" s="7">
        <f t="shared" si="0"/>
        <v>28</v>
      </c>
      <c r="G11" s="7" t="str">
        <f t="shared" si="1"/>
        <v>Fanoušek</v>
      </c>
      <c r="H11" s="8" t="s">
        <v>19</v>
      </c>
      <c r="I11" s="8">
        <f t="shared" si="2"/>
        <v>1</v>
      </c>
      <c r="J11" s="10" t="s">
        <v>34</v>
      </c>
      <c r="K11" s="10" t="s">
        <v>35</v>
      </c>
      <c r="L11" s="10" t="s">
        <v>36</v>
      </c>
    </row>
    <row r="12" spans="2:12" x14ac:dyDescent="0.2">
      <c r="B12" s="9">
        <v>9</v>
      </c>
      <c r="C12" s="7">
        <v>8</v>
      </c>
      <c r="D12" s="7">
        <v>10</v>
      </c>
      <c r="E12" s="7">
        <v>5</v>
      </c>
      <c r="F12" s="7">
        <f t="shared" si="0"/>
        <v>23</v>
      </c>
      <c r="G12" s="7" t="str">
        <f t="shared" si="1"/>
        <v>Pasivní</v>
      </c>
      <c r="H12" s="8" t="s">
        <v>23</v>
      </c>
      <c r="I12" s="8">
        <f t="shared" si="2"/>
        <v>0</v>
      </c>
      <c r="J12" s="10" t="s">
        <v>37</v>
      </c>
      <c r="K12" s="10" t="s">
        <v>38</v>
      </c>
      <c r="L12" s="10" t="s">
        <v>39</v>
      </c>
    </row>
    <row r="13" spans="2:12" x14ac:dyDescent="0.2">
      <c r="B13" s="9">
        <v>10</v>
      </c>
      <c r="C13" s="7">
        <v>8</v>
      </c>
      <c r="D13" s="7">
        <v>7</v>
      </c>
      <c r="E13" s="7">
        <v>7</v>
      </c>
      <c r="F13" s="7">
        <f t="shared" si="0"/>
        <v>22</v>
      </c>
      <c r="G13" s="7" t="str">
        <f t="shared" si="1"/>
        <v>Pasivní</v>
      </c>
      <c r="H13" s="8" t="s">
        <v>23</v>
      </c>
      <c r="I13" s="8">
        <f t="shared" si="2"/>
        <v>0</v>
      </c>
      <c r="J13" s="10" t="s">
        <v>40</v>
      </c>
      <c r="K13" s="10" t="s">
        <v>41</v>
      </c>
      <c r="L13" s="10" t="s">
        <v>42</v>
      </c>
    </row>
    <row r="14" spans="2:12" x14ac:dyDescent="0.2">
      <c r="B14" s="9">
        <v>11</v>
      </c>
      <c r="C14" s="7">
        <v>8</v>
      </c>
      <c r="D14" s="7">
        <v>8</v>
      </c>
      <c r="E14" s="7">
        <v>7</v>
      </c>
      <c r="F14" s="7">
        <f t="shared" si="0"/>
        <v>23</v>
      </c>
      <c r="G14" s="7" t="str">
        <f t="shared" si="1"/>
        <v>Pasivní</v>
      </c>
      <c r="H14" s="8" t="s">
        <v>23</v>
      </c>
      <c r="I14" s="8">
        <f t="shared" si="2"/>
        <v>0</v>
      </c>
      <c r="J14" s="10" t="s">
        <v>43</v>
      </c>
      <c r="K14" s="10" t="s">
        <v>41</v>
      </c>
      <c r="L14" s="10" t="s">
        <v>44</v>
      </c>
    </row>
    <row r="15" spans="2:12" x14ac:dyDescent="0.2">
      <c r="B15" s="9">
        <v>12</v>
      </c>
      <c r="C15" s="7">
        <v>10</v>
      </c>
      <c r="D15" s="17">
        <v>10</v>
      </c>
      <c r="E15" s="7">
        <v>8</v>
      </c>
      <c r="F15" s="7">
        <f t="shared" si="0"/>
        <v>28</v>
      </c>
      <c r="G15" s="7" t="str">
        <f t="shared" si="1"/>
        <v>Fanoušek</v>
      </c>
      <c r="H15" s="8" t="s">
        <v>19</v>
      </c>
      <c r="I15" s="8">
        <f t="shared" si="2"/>
        <v>1</v>
      </c>
      <c r="J15" s="10" t="s">
        <v>45</v>
      </c>
      <c r="K15" s="10" t="s">
        <v>46</v>
      </c>
      <c r="L15" s="10" t="s">
        <v>47</v>
      </c>
    </row>
    <row r="16" spans="2:12" x14ac:dyDescent="0.2">
      <c r="B16" s="9">
        <v>13</v>
      </c>
      <c r="C16" s="7">
        <v>9</v>
      </c>
      <c r="D16" s="7">
        <v>9</v>
      </c>
      <c r="E16" s="7">
        <v>8</v>
      </c>
      <c r="F16" s="7">
        <f t="shared" si="0"/>
        <v>26</v>
      </c>
      <c r="G16" s="7" t="str">
        <f t="shared" si="1"/>
        <v>Fanoušek</v>
      </c>
      <c r="H16" s="8" t="s">
        <v>19</v>
      </c>
      <c r="I16" s="8">
        <f t="shared" si="2"/>
        <v>1</v>
      </c>
      <c r="J16" s="10" t="s">
        <v>48</v>
      </c>
      <c r="K16" s="10" t="s">
        <v>48</v>
      </c>
      <c r="L16" s="10" t="s">
        <v>49</v>
      </c>
    </row>
    <row r="17" spans="2:12" x14ac:dyDescent="0.2">
      <c r="B17" s="9">
        <v>14</v>
      </c>
      <c r="C17" s="7">
        <v>4</v>
      </c>
      <c r="D17" s="7">
        <v>8</v>
      </c>
      <c r="E17" s="7">
        <v>5</v>
      </c>
      <c r="F17" s="7">
        <f t="shared" si="0"/>
        <v>17</v>
      </c>
      <c r="G17" s="7" t="str">
        <f t="shared" si="1"/>
        <v>Kritik</v>
      </c>
      <c r="H17" s="8" t="s">
        <v>19</v>
      </c>
      <c r="I17" s="8">
        <f t="shared" si="2"/>
        <v>1</v>
      </c>
      <c r="J17" s="10"/>
      <c r="K17" s="10"/>
      <c r="L17" s="10"/>
    </row>
    <row r="18" spans="2:12" x14ac:dyDescent="0.2">
      <c r="B18" s="9">
        <v>15</v>
      </c>
      <c r="C18" s="7">
        <v>7</v>
      </c>
      <c r="D18" s="7">
        <v>10</v>
      </c>
      <c r="E18" s="7">
        <v>6</v>
      </c>
      <c r="F18" s="7">
        <f t="shared" si="0"/>
        <v>23</v>
      </c>
      <c r="G18" s="7" t="str">
        <f t="shared" si="1"/>
        <v>Pasivní</v>
      </c>
      <c r="H18" s="8"/>
      <c r="I18" s="8" t="str">
        <f t="shared" si="2"/>
        <v/>
      </c>
      <c r="J18" s="10"/>
      <c r="K18" s="10"/>
      <c r="L18" s="10"/>
    </row>
    <row r="19" spans="2:12" x14ac:dyDescent="0.2">
      <c r="B19" s="9">
        <v>16</v>
      </c>
      <c r="C19" s="7">
        <v>7</v>
      </c>
      <c r="D19" s="7">
        <v>8</v>
      </c>
      <c r="E19" s="7">
        <v>4</v>
      </c>
      <c r="F19" s="7">
        <f t="shared" si="0"/>
        <v>19</v>
      </c>
      <c r="G19" s="7" t="str">
        <f t="shared" si="1"/>
        <v>Pasivní</v>
      </c>
      <c r="H19" s="8"/>
      <c r="I19" s="8" t="str">
        <f t="shared" si="2"/>
        <v/>
      </c>
      <c r="J19" s="10"/>
      <c r="K19" s="10"/>
      <c r="L19" s="10"/>
    </row>
    <row r="20" spans="2:12" x14ac:dyDescent="0.2">
      <c r="B20" s="9">
        <v>17</v>
      </c>
      <c r="C20" s="7">
        <v>8</v>
      </c>
      <c r="D20" s="7">
        <v>9</v>
      </c>
      <c r="E20" s="7">
        <v>6</v>
      </c>
      <c r="F20" s="7">
        <f t="shared" si="0"/>
        <v>23</v>
      </c>
      <c r="G20" s="7" t="str">
        <f t="shared" si="1"/>
        <v>Pasivní</v>
      </c>
      <c r="H20" s="8"/>
      <c r="I20" s="8" t="str">
        <f t="shared" si="2"/>
        <v/>
      </c>
      <c r="J20" s="10"/>
      <c r="K20" s="10"/>
      <c r="L20" s="10"/>
    </row>
    <row r="21" spans="2:12" x14ac:dyDescent="0.2">
      <c r="B21" s="9">
        <v>18</v>
      </c>
      <c r="C21" s="7">
        <v>7</v>
      </c>
      <c r="D21" s="7">
        <v>8</v>
      </c>
      <c r="E21" s="7">
        <v>7</v>
      </c>
      <c r="F21" s="7">
        <f t="shared" si="0"/>
        <v>22</v>
      </c>
      <c r="G21" s="7" t="str">
        <f t="shared" si="1"/>
        <v>Pasivní</v>
      </c>
      <c r="H21" s="8"/>
      <c r="I21" s="8" t="str">
        <f t="shared" si="2"/>
        <v/>
      </c>
      <c r="J21" s="10"/>
      <c r="K21" s="10"/>
      <c r="L21" s="10"/>
    </row>
    <row r="22" spans="2:12" x14ac:dyDescent="0.2">
      <c r="B22" s="9">
        <v>19</v>
      </c>
      <c r="C22" s="7">
        <v>7</v>
      </c>
      <c r="D22" s="7">
        <v>10</v>
      </c>
      <c r="E22" s="7">
        <v>5</v>
      </c>
      <c r="F22" s="7">
        <f t="shared" si="0"/>
        <v>22</v>
      </c>
      <c r="G22" s="7" t="str">
        <f t="shared" si="1"/>
        <v>Pasivní</v>
      </c>
      <c r="H22" s="8" t="s">
        <v>19</v>
      </c>
      <c r="I22" s="8">
        <f t="shared" si="2"/>
        <v>1</v>
      </c>
      <c r="J22" s="10" t="s">
        <v>50</v>
      </c>
      <c r="K22" s="10" t="s">
        <v>51</v>
      </c>
      <c r="L22" s="10" t="s">
        <v>52</v>
      </c>
    </row>
    <row r="23" spans="2:12" x14ac:dyDescent="0.2">
      <c r="B23" s="9">
        <v>20</v>
      </c>
      <c r="C23" s="7">
        <v>9</v>
      </c>
      <c r="D23" s="7">
        <v>9</v>
      </c>
      <c r="E23" s="7">
        <v>6</v>
      </c>
      <c r="F23" s="7">
        <f t="shared" si="0"/>
        <v>24</v>
      </c>
      <c r="G23" s="7" t="str">
        <f t="shared" si="1"/>
        <v>Pasivní</v>
      </c>
      <c r="H23" s="8" t="s">
        <v>19</v>
      </c>
      <c r="I23" s="8">
        <f t="shared" si="2"/>
        <v>1</v>
      </c>
      <c r="J23" s="10" t="s">
        <v>53</v>
      </c>
      <c r="K23" s="10" t="s">
        <v>54</v>
      </c>
      <c r="L23" s="10" t="s">
        <v>55</v>
      </c>
    </row>
    <row r="24" spans="2:12" x14ac:dyDescent="0.2">
      <c r="B24" s="9">
        <v>21</v>
      </c>
      <c r="C24" s="7">
        <v>8</v>
      </c>
      <c r="D24" s="7">
        <v>8</v>
      </c>
      <c r="E24" s="7">
        <v>6</v>
      </c>
      <c r="F24" s="7">
        <f t="shared" si="0"/>
        <v>22</v>
      </c>
      <c r="G24" s="7" t="str">
        <f t="shared" si="1"/>
        <v>Pasivní</v>
      </c>
      <c r="H24" s="8" t="s">
        <v>19</v>
      </c>
      <c r="I24" s="8">
        <f t="shared" si="2"/>
        <v>1</v>
      </c>
      <c r="J24" s="10" t="s">
        <v>56</v>
      </c>
      <c r="K24" s="10" t="s">
        <v>57</v>
      </c>
      <c r="L24" s="10" t="s">
        <v>28</v>
      </c>
    </row>
    <row r="25" spans="2:12" x14ac:dyDescent="0.2">
      <c r="B25" s="9">
        <v>22</v>
      </c>
      <c r="C25" s="7">
        <v>7</v>
      </c>
      <c r="D25" s="7">
        <v>8</v>
      </c>
      <c r="E25" s="7">
        <v>9</v>
      </c>
      <c r="F25" s="7">
        <f t="shared" si="0"/>
        <v>24</v>
      </c>
      <c r="G25" s="7" t="str">
        <f t="shared" si="1"/>
        <v>Pasivní</v>
      </c>
      <c r="H25" s="8" t="s">
        <v>19</v>
      </c>
      <c r="I25" s="8">
        <f t="shared" si="2"/>
        <v>1</v>
      </c>
      <c r="J25" s="10" t="s">
        <v>58</v>
      </c>
      <c r="K25" s="10" t="s">
        <v>59</v>
      </c>
      <c r="L25" s="10" t="s">
        <v>60</v>
      </c>
    </row>
    <row r="26" spans="2:12" x14ac:dyDescent="0.2">
      <c r="B26" s="9">
        <v>23</v>
      </c>
      <c r="C26" s="7">
        <v>8</v>
      </c>
      <c r="D26" s="7">
        <v>8</v>
      </c>
      <c r="E26" s="7">
        <v>10</v>
      </c>
      <c r="F26" s="7">
        <f t="shared" si="0"/>
        <v>26</v>
      </c>
      <c r="G26" s="7" t="str">
        <f t="shared" si="1"/>
        <v>Fanoušek</v>
      </c>
      <c r="H26" s="8" t="s">
        <v>19</v>
      </c>
      <c r="I26" s="8">
        <f t="shared" si="2"/>
        <v>1</v>
      </c>
      <c r="J26" s="10" t="s">
        <v>58</v>
      </c>
      <c r="K26" s="10" t="s">
        <v>61</v>
      </c>
      <c r="L26" s="10" t="s">
        <v>62</v>
      </c>
    </row>
    <row r="27" spans="2:12" x14ac:dyDescent="0.2">
      <c r="B27" s="9">
        <v>24</v>
      </c>
      <c r="C27" s="7">
        <v>10</v>
      </c>
      <c r="D27" s="7">
        <v>10</v>
      </c>
      <c r="E27" s="7">
        <v>9</v>
      </c>
      <c r="F27" s="7">
        <f t="shared" si="0"/>
        <v>29</v>
      </c>
      <c r="G27" s="7" t="str">
        <f t="shared" si="1"/>
        <v>Fanoušek</v>
      </c>
      <c r="H27" s="8" t="s">
        <v>23</v>
      </c>
      <c r="I27" s="8">
        <f t="shared" si="2"/>
        <v>0</v>
      </c>
      <c r="J27" s="10" t="s">
        <v>63</v>
      </c>
      <c r="K27" s="10" t="s">
        <v>64</v>
      </c>
      <c r="L27" s="10" t="s">
        <v>65</v>
      </c>
    </row>
    <row r="28" spans="2:12" x14ac:dyDescent="0.2">
      <c r="B28" s="9">
        <v>25</v>
      </c>
      <c r="C28" s="7">
        <v>8</v>
      </c>
      <c r="D28" s="7">
        <v>10</v>
      </c>
      <c r="E28" s="7">
        <v>9</v>
      </c>
      <c r="F28" s="7">
        <f t="shared" si="0"/>
        <v>27</v>
      </c>
      <c r="G28" s="7" t="str">
        <f t="shared" si="1"/>
        <v>Fanoušek</v>
      </c>
      <c r="H28" s="8" t="s">
        <v>23</v>
      </c>
      <c r="I28" s="8">
        <f t="shared" si="2"/>
        <v>0</v>
      </c>
      <c r="J28" s="10" t="s">
        <v>66</v>
      </c>
      <c r="K28" s="10"/>
      <c r="L28" s="10" t="s">
        <v>67</v>
      </c>
    </row>
    <row r="29" spans="2:12" x14ac:dyDescent="0.2">
      <c r="B29" s="9">
        <v>26</v>
      </c>
      <c r="C29" s="7">
        <v>10</v>
      </c>
      <c r="D29" s="7">
        <v>9</v>
      </c>
      <c r="E29" s="7">
        <v>8</v>
      </c>
      <c r="F29" s="7">
        <f t="shared" si="0"/>
        <v>27</v>
      </c>
      <c r="G29" s="7" t="str">
        <f t="shared" si="1"/>
        <v>Fanoušek</v>
      </c>
      <c r="H29" s="8" t="s">
        <v>19</v>
      </c>
      <c r="I29" s="8">
        <f t="shared" si="2"/>
        <v>1</v>
      </c>
      <c r="J29" s="10" t="s">
        <v>68</v>
      </c>
      <c r="K29" s="10" t="s">
        <v>69</v>
      </c>
      <c r="L29" s="10" t="s">
        <v>70</v>
      </c>
    </row>
    <row r="30" spans="2:12" x14ac:dyDescent="0.2">
      <c r="B30" s="9">
        <v>27</v>
      </c>
      <c r="C30" s="7">
        <v>10</v>
      </c>
      <c r="D30" s="7">
        <v>10</v>
      </c>
      <c r="E30" s="7">
        <v>8</v>
      </c>
      <c r="F30" s="7">
        <f t="shared" si="0"/>
        <v>28</v>
      </c>
      <c r="G30" s="7" t="str">
        <f t="shared" si="1"/>
        <v>Fanoušek</v>
      </c>
      <c r="H30" s="8" t="s">
        <v>19</v>
      </c>
      <c r="I30" s="8">
        <f t="shared" si="2"/>
        <v>1</v>
      </c>
      <c r="J30" s="10" t="s">
        <v>71</v>
      </c>
      <c r="K30" s="10" t="s">
        <v>72</v>
      </c>
      <c r="L30" s="10" t="s">
        <v>73</v>
      </c>
    </row>
    <row r="31" spans="2:12" x14ac:dyDescent="0.2">
      <c r="B31" s="9">
        <v>28</v>
      </c>
      <c r="C31" s="7">
        <v>8</v>
      </c>
      <c r="D31" s="7">
        <v>8</v>
      </c>
      <c r="E31" s="7">
        <v>9</v>
      </c>
      <c r="F31" s="7">
        <f t="shared" si="0"/>
        <v>25</v>
      </c>
      <c r="G31" s="7" t="str">
        <f t="shared" si="1"/>
        <v>Fanoušek</v>
      </c>
      <c r="H31" s="8"/>
      <c r="I31" s="8" t="str">
        <f t="shared" si="2"/>
        <v/>
      </c>
      <c r="J31" s="10"/>
      <c r="K31" s="10"/>
      <c r="L31" s="10"/>
    </row>
    <row r="32" spans="2:12" x14ac:dyDescent="0.2">
      <c r="B32" s="4"/>
    </row>
    <row r="33" spans="2:7" x14ac:dyDescent="0.2">
      <c r="B33" s="4"/>
    </row>
    <row r="34" spans="2:7" x14ac:dyDescent="0.2">
      <c r="B34" s="4"/>
      <c r="D34" s="5"/>
    </row>
    <row r="35" spans="2:7" ht="18" customHeight="1" x14ac:dyDescent="0.2">
      <c r="B35" s="9" t="s">
        <v>74</v>
      </c>
      <c r="C35" s="11">
        <f>AVERAGE(C3:C31)</f>
        <v>8.1034482758620694</v>
      </c>
    </row>
    <row r="36" spans="2:7" ht="18" customHeight="1" x14ac:dyDescent="0.2">
      <c r="B36" s="12" t="s">
        <v>75</v>
      </c>
      <c r="C36" s="11">
        <f>AVERAGE(D3:D31)</f>
        <v>8.7931034482758612</v>
      </c>
    </row>
    <row r="37" spans="2:7" ht="18" customHeight="1" x14ac:dyDescent="0.2">
      <c r="B37" s="12" t="s">
        <v>76</v>
      </c>
      <c r="C37" s="11">
        <f>AVERAGE(E3:E31)</f>
        <v>7.0344827586206895</v>
      </c>
      <c r="F37" s="18"/>
    </row>
    <row r="38" spans="2:7" ht="18" customHeight="1" x14ac:dyDescent="0.2">
      <c r="B38" s="4"/>
      <c r="C38" s="14"/>
    </row>
    <row r="39" spans="2:7" ht="16" customHeight="1" x14ac:dyDescent="0.2">
      <c r="B39" s="4" t="s">
        <v>77</v>
      </c>
    </row>
    <row r="40" spans="2:7" ht="17" x14ac:dyDescent="0.2">
      <c r="B40" s="13" t="s">
        <v>78</v>
      </c>
      <c r="C40" s="10">
        <f>COUNTIF(I3:I31, 1)</f>
        <v>15</v>
      </c>
    </row>
    <row r="41" spans="2:7" ht="17" x14ac:dyDescent="0.2">
      <c r="B41" s="13" t="s">
        <v>11</v>
      </c>
      <c r="C41" s="10">
        <f>COUNTIF(I3:I31, 0)</f>
        <v>9</v>
      </c>
    </row>
    <row r="42" spans="2:7" x14ac:dyDescent="0.2">
      <c r="E42" s="1" t="s">
        <v>79</v>
      </c>
    </row>
    <row r="43" spans="2:7" x14ac:dyDescent="0.2">
      <c r="B43" s="4" t="s">
        <v>80</v>
      </c>
      <c r="E43" s="16" t="s">
        <v>5</v>
      </c>
      <c r="F43" s="16" t="s">
        <v>81</v>
      </c>
      <c r="G43" s="1"/>
    </row>
    <row r="44" spans="2:7" x14ac:dyDescent="0.2">
      <c r="B44" s="12" t="s">
        <v>82</v>
      </c>
      <c r="C44" s="10">
        <f>COUNTIF(G3:G31, "Fanoušek")</f>
        <v>12</v>
      </c>
      <c r="E44" s="10" t="s">
        <v>82</v>
      </c>
      <c r="F44" s="10" t="s">
        <v>83</v>
      </c>
    </row>
    <row r="45" spans="2:7" x14ac:dyDescent="0.2">
      <c r="B45" s="9" t="s">
        <v>84</v>
      </c>
      <c r="C45" s="10">
        <f>COUNTIF(G3:G31, "Pasivní")</f>
        <v>15</v>
      </c>
      <c r="E45" s="10" t="s">
        <v>84</v>
      </c>
      <c r="F45" s="10" t="s">
        <v>85</v>
      </c>
    </row>
    <row r="46" spans="2:7" x14ac:dyDescent="0.2">
      <c r="B46" s="12" t="s">
        <v>86</v>
      </c>
      <c r="C46" s="10">
        <f>COUNTIF(G3:G31, "Kritik")</f>
        <v>2</v>
      </c>
      <c r="E46" s="10" t="s">
        <v>86</v>
      </c>
      <c r="F46" s="15" t="s">
        <v>87</v>
      </c>
    </row>
    <row r="47" spans="2:7" x14ac:dyDescent="0.2">
      <c r="B47" s="4"/>
    </row>
    <row r="48" spans="2:7" x14ac:dyDescent="0.2">
      <c r="B48" s="4"/>
    </row>
    <row r="49" spans="2:2" x14ac:dyDescent="0.2">
      <c r="B49" s="3"/>
    </row>
    <row r="50" spans="2:2" x14ac:dyDescent="0.2">
      <c r="B50" s="4"/>
    </row>
    <row r="51" spans="2:2" x14ac:dyDescent="0.2">
      <c r="B51" s="4"/>
    </row>
    <row r="52" spans="2:2" x14ac:dyDescent="0.2">
      <c r="B52" s="4"/>
    </row>
    <row r="53" spans="2:2" x14ac:dyDescent="0.2">
      <c r="B53" s="4"/>
    </row>
    <row r="54" spans="2:2" x14ac:dyDescent="0.2">
      <c r="B54" s="3"/>
    </row>
    <row r="55" spans="2:2" x14ac:dyDescent="0.2">
      <c r="B55" s="4"/>
    </row>
    <row r="56" spans="2:2" x14ac:dyDescent="0.2">
      <c r="B56" s="3"/>
    </row>
    <row r="57" spans="2:2" x14ac:dyDescent="0.2">
      <c r="B57" s="4"/>
    </row>
    <row r="58" spans="2:2" x14ac:dyDescent="0.2">
      <c r="B58" s="4"/>
    </row>
    <row r="59" spans="2:2" x14ac:dyDescent="0.2">
      <c r="B59" s="4"/>
    </row>
    <row r="60" spans="2:2" x14ac:dyDescent="0.2">
      <c r="B60" s="4"/>
    </row>
    <row r="61" spans="2:2" x14ac:dyDescent="0.2">
      <c r="B61" s="3"/>
    </row>
    <row r="62" spans="2:2" x14ac:dyDescent="0.2">
      <c r="B62" s="4"/>
    </row>
    <row r="63" spans="2:2" x14ac:dyDescent="0.2">
      <c r="B63" s="4"/>
    </row>
    <row r="64" spans="2:2" x14ac:dyDescent="0.2">
      <c r="B64" s="4"/>
    </row>
    <row r="65" spans="2:2" x14ac:dyDescent="0.2">
      <c r="B65" s="4"/>
    </row>
    <row r="66" spans="2:2" x14ac:dyDescent="0.2">
      <c r="B66" s="3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3"/>
    </row>
    <row r="71" spans="2:2" x14ac:dyDescent="0.2">
      <c r="B71" s="4"/>
    </row>
    <row r="72" spans="2:2" x14ac:dyDescent="0.2">
      <c r="B72" s="4"/>
    </row>
    <row r="73" spans="2:2" x14ac:dyDescent="0.2">
      <c r="B73" s="4"/>
    </row>
    <row r="74" spans="2:2" x14ac:dyDescent="0.2">
      <c r="B74" s="4"/>
    </row>
    <row r="75" spans="2:2" x14ac:dyDescent="0.2">
      <c r="B75" s="3"/>
    </row>
    <row r="76" spans="2:2" x14ac:dyDescent="0.2">
      <c r="B76" s="4"/>
    </row>
    <row r="77" spans="2:2" x14ac:dyDescent="0.2">
      <c r="B77" s="4"/>
    </row>
    <row r="78" spans="2:2" x14ac:dyDescent="0.2">
      <c r="B78" s="4"/>
    </row>
    <row r="79" spans="2:2" x14ac:dyDescent="0.2">
      <c r="B79" s="4"/>
    </row>
    <row r="80" spans="2:2" x14ac:dyDescent="0.2">
      <c r="B80" s="3"/>
    </row>
    <row r="81" spans="2:2" x14ac:dyDescent="0.2">
      <c r="B81" s="4"/>
    </row>
    <row r="82" spans="2:2" x14ac:dyDescent="0.2">
      <c r="B82" s="3"/>
    </row>
    <row r="83" spans="2:2" x14ac:dyDescent="0.2">
      <c r="B83" s="4"/>
    </row>
    <row r="84" spans="2:2" x14ac:dyDescent="0.2">
      <c r="B84" s="4"/>
    </row>
    <row r="85" spans="2:2" x14ac:dyDescent="0.2">
      <c r="B85" s="4"/>
    </row>
    <row r="86" spans="2:2" x14ac:dyDescent="0.2">
      <c r="B86" s="4"/>
    </row>
    <row r="87" spans="2:2" x14ac:dyDescent="0.2">
      <c r="B87" s="3"/>
    </row>
    <row r="88" spans="2:2" x14ac:dyDescent="0.2">
      <c r="B88" s="4"/>
    </row>
    <row r="89" spans="2:2" x14ac:dyDescent="0.2">
      <c r="B89" s="4"/>
    </row>
    <row r="90" spans="2:2" x14ac:dyDescent="0.2">
      <c r="B90" s="4"/>
    </row>
    <row r="91" spans="2:2" x14ac:dyDescent="0.2">
      <c r="B91" s="4"/>
    </row>
    <row r="92" spans="2:2" x14ac:dyDescent="0.2">
      <c r="B92" s="3"/>
    </row>
    <row r="93" spans="2:2" x14ac:dyDescent="0.2">
      <c r="B93" s="4"/>
    </row>
    <row r="94" spans="2:2" x14ac:dyDescent="0.2">
      <c r="B94" s="4"/>
    </row>
    <row r="95" spans="2:2" x14ac:dyDescent="0.2">
      <c r="B95" s="3"/>
    </row>
    <row r="96" spans="2:2" x14ac:dyDescent="0.2">
      <c r="B96" s="4"/>
    </row>
    <row r="97" spans="2:2" x14ac:dyDescent="0.2">
      <c r="B97" s="4"/>
    </row>
    <row r="98" spans="2:2" x14ac:dyDescent="0.2">
      <c r="B98" s="3"/>
    </row>
    <row r="99" spans="2:2" x14ac:dyDescent="0.2">
      <c r="B99" s="4"/>
    </row>
    <row r="100" spans="2:2" x14ac:dyDescent="0.2">
      <c r="B100" s="4"/>
    </row>
    <row r="101" spans="2:2" x14ac:dyDescent="0.2">
      <c r="B101" s="3"/>
    </row>
    <row r="102" spans="2:2" x14ac:dyDescent="0.2">
      <c r="B102" s="4"/>
    </row>
    <row r="103" spans="2:2" x14ac:dyDescent="0.2">
      <c r="B103" s="4"/>
    </row>
    <row r="104" spans="2:2" x14ac:dyDescent="0.2">
      <c r="B104" s="3"/>
    </row>
    <row r="105" spans="2:2" x14ac:dyDescent="0.2">
      <c r="B105" s="4"/>
    </row>
    <row r="106" spans="2:2" x14ac:dyDescent="0.2">
      <c r="B106" s="4"/>
    </row>
    <row r="107" spans="2:2" x14ac:dyDescent="0.2">
      <c r="B10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289C-D93B-4943-B7FB-FBFCD97C99DE}">
  <dimension ref="A1"/>
  <sheetViews>
    <sheetView showGridLines="0" tabSelected="1" zoomScale="75" zoomScaleNormal="125" workbookViewId="0">
      <selection activeCell="W79" sqref="W79"/>
    </sheetView>
  </sheetViews>
  <sheetFormatPr baseColWidth="10" defaultColWidth="11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GRAFY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Ondřej Malík (4ITA)</dc:creator>
  <cp:keywords/>
  <dc:description/>
  <cp:lastModifiedBy>Ondřej Malík (4ITA)</cp:lastModifiedBy>
  <cp:revision/>
  <dcterms:created xsi:type="dcterms:W3CDTF">2025-11-07T07:36:30Z</dcterms:created>
  <dcterms:modified xsi:type="dcterms:W3CDTF">2025-11-08T15:23:36Z</dcterms:modified>
  <cp:category/>
  <cp:contentStatus/>
</cp:coreProperties>
</file>